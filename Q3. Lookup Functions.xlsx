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practice\Excel Assignment(2)\Excel Assignment\"/>
    </mc:Choice>
  </mc:AlternateContent>
  <xr:revisionPtr revIDLastSave="0" documentId="13_ncr:1_{0BD82F41-21D4-438D-A9D7-C074BFBCF8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SOURCE">Source!$C$5:$F$40</definedName>
  </definedNames>
  <calcPr calcId="191029"/>
  <extLs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O11" i="1" l="1"/>
  <c r="O10" i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H7" i="3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<sst xmlns="http://schemas.openxmlformats.org/spreadsheetml/2006/main" count="480" uniqueCount="104">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</sst>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2" fillId="0" borderId="2" xfId="0" applyFont="1" applyBorder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topLeftCell="B1" workbookViewId="0">
      <selection activeCell="F33" sqref="F33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44.2187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31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1" t="s">
        <v>30</v>
      </c>
      <c r="N9" s="12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INDEX($C$5:$K$42,MATCH(MAX($K$5:$K$42),$K$5:$K$42,0),MATCH($O$9,$C$4:$K$4,0))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6" t="str">
        <f>INDEX($C$5:$K$42,MATCH(MIN($K$5:$K$42),$K$5:$K$42,0),MATCH($O$9,$C$4:$K$4,0))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3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  <c r="M17" s="10"/>
    </row>
    <row r="18" spans="3:13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  <c r="M18" s="10"/>
    </row>
    <row r="19" spans="3:13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3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3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3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3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3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3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3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3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3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3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3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3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3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opLeftCell="A5" workbookViewId="0">
      <selection activeCell="L16" sqref="L16"/>
    </sheetView>
  </sheetViews>
  <sheetFormatPr defaultColWidth="14.44140625" defaultRowHeight="15" customHeight="1"/>
  <cols>
    <col min="1" max="3" width="8.6640625" customWidth="1"/>
    <col min="4" max="4" width="81.5546875" customWidth="1"/>
    <col min="5" max="5" width="8.6640625" customWidth="1"/>
    <col min="6" max="6" width="9.88671875" customWidth="1"/>
    <col min="7" max="9" width="8.6640625" customWidth="1"/>
    <col min="10" max="10" width="16.21875" customWidth="1"/>
    <col min="11" max="11" width="17.6640625" customWidth="1"/>
    <col min="12" max="14" width="8.6640625" customWidth="1"/>
    <col min="15" max="15" width="15.88671875" customWidth="1"/>
    <col min="16" max="25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3" t="str">
        <f>IFERROR(VLOOKUP($C7,Source!$C$6:$E$40,MATCH($I$6,Source!$C$5:$F$5,0),0),"retired")</f>
        <v>North</v>
      </c>
      <c r="J7" s="6" t="str">
        <f>IFERROR(VLOOKUP($C7,Source!$C$6:$E$40,MATCH($J$6,Source!$C$5:$F$5,0),0),"retired")</f>
        <v>FLM</v>
      </c>
      <c r="K7" s="6">
        <f>IFERROR(VLOOKUP($C7,Source!$C$6:$F$40,MATCH($K$6,Source!$C$5:$F$5,0),0),"retired")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3" t="str">
        <f>IFERROR(VLOOKUP($C8,Source!$C$6:$E$40,MATCH($I$6,Source!$C$5:$F$5,0),0),"retired")</f>
        <v>North</v>
      </c>
      <c r="J8" s="6" t="str">
        <f>IFERROR(VLOOKUP($C8,Source!$C$6:$E$40,MATCH($J$6,Source!$C$5:$F$5,0),0),"retired")</f>
        <v>Digital Marketing</v>
      </c>
      <c r="K8" s="6">
        <f>IFERROR(VLOOKUP($C8,Source!$C$6:$F$40,MATCH($K$6,Source!$C$5:$F$5,0),0),"retired")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3" t="str">
        <f>IFERROR(VLOOKUP($C9,Source!$C$6:$E$40,MATCH($I$6,Source!$C$5:$F$5,0),0),"retired")</f>
        <v>North</v>
      </c>
      <c r="J9" s="6" t="str">
        <f>IFERROR(VLOOKUP($C9,Source!$C$6:$E$40,MATCH($J$6,Source!$C$5:$F$5,0),0),"retired")</f>
        <v>Digital Marketing</v>
      </c>
      <c r="K9" s="6">
        <f>IFERROR(VLOOKUP($C9,Source!$C$6:$F$40,MATCH($K$6,Source!$C$5:$F$5,0),0),"retired")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3" t="str">
        <f>IFERROR(VLOOKUP($C10,Source!$C$6:$E$40,MATCH($I$6,Source!$C$5:$F$5,0),0),"retired")</f>
        <v>South</v>
      </c>
      <c r="J10" s="6" t="str">
        <f>IFERROR(VLOOKUP($C10,Source!$C$6:$E$40,MATCH($J$6,Source!$C$5:$F$5,0),0),"retired")</f>
        <v>Inside Sales</v>
      </c>
      <c r="K10" s="6">
        <f>IFERROR(VLOOKUP($C10,Source!$C$6:$F$40,MATCH($K$6,Source!$C$5:$F$5,0),0),"retired")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3" t="str">
        <f>IFERROR(VLOOKUP($C11,Source!$C$6:$E$40,MATCH($I$6,Source!$C$5:$F$5,0),0),"retired")</f>
        <v>North</v>
      </c>
      <c r="J11" s="6" t="str">
        <f>IFERROR(VLOOKUP($C11,Source!$C$6:$E$40,MATCH($J$6,Source!$C$5:$F$5,0),0),"retired")</f>
        <v>Marketing</v>
      </c>
      <c r="K11" s="6">
        <f>IFERROR(VLOOKUP($C11,Source!$C$6:$F$40,MATCH($K$6,Source!$C$5:$F$5,0),0),"retired")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3" t="str">
        <f>IFERROR(VLOOKUP($C12,Source!$C$6:$E$40,MATCH($I$6,Source!$C$5:$F$5,0),0),"retired")</f>
        <v>North</v>
      </c>
      <c r="J12" s="6" t="str">
        <f>IFERROR(VLOOKUP($C12,Source!$C$6:$E$40,MATCH($J$6,Source!$C$5:$F$5,0),0),"retired")</f>
        <v>Director</v>
      </c>
      <c r="K12" s="6">
        <f>IFERROR(VLOOKUP($C12,Source!$C$6:$F$40,MATCH($K$6,Source!$C$5:$F$5,0),0),"retired")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3" t="str">
        <f>IFERROR(VLOOKUP($C13,Source!$C$6:$E$40,MATCH($I$6,Source!$C$5:$F$5,0),0),"retired")</f>
        <v>Mid West</v>
      </c>
      <c r="J13" s="6" t="str">
        <f>IFERROR(VLOOKUP($C13,Source!$C$6:$E$40,MATCH($J$6,Source!$C$5:$F$5,0),0),"retired")</f>
        <v>Learning &amp; Development</v>
      </c>
      <c r="K13" s="6">
        <f>IFERROR(VLOOKUP($C13,Source!$C$6:$F$40,MATCH($K$6,Source!$C$5:$F$5,0),0),"retired")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3" t="str">
        <f>IFERROR(VLOOKUP($C14,Source!$C$6:$E$40,MATCH($I$6,Source!$C$5:$F$5,0),0),"retired")</f>
        <v>Mid West</v>
      </c>
      <c r="J14" s="6" t="str">
        <f>IFERROR(VLOOKUP($C14,Source!$C$6:$E$40,MATCH($J$6,Source!$C$5:$F$5,0),0),"retired")</f>
        <v>Digital Marketing</v>
      </c>
      <c r="K14" s="6">
        <f>IFERROR(VLOOKUP($C14,Source!$C$6:$F$40,MATCH($K$6,Source!$C$5:$F$5,0),0),"retired")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3" t="str">
        <f>IFERROR(VLOOKUP($C15,Source!$C$6:$E$40,MATCH($I$6,Source!$C$5:$F$5,0),0),"retired")</f>
        <v>East</v>
      </c>
      <c r="J15" s="6" t="str">
        <f>IFERROR(VLOOKUP($C15,Source!$C$6:$E$40,MATCH($J$6,Source!$C$5:$F$5,0),0),"retired")</f>
        <v>Digital Marketing</v>
      </c>
      <c r="K15" s="6">
        <f>IFERROR(VLOOKUP($C15,Source!$C$6:$F$40,MATCH($K$6,Source!$C$5:$F$5,0),0),"retired")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3" t="str">
        <f>IFERROR(VLOOKUP($C16,Source!$C$6:$E$40,MATCH($I$6,Source!$C$5:$F$5,0),0),"retired")</f>
        <v>North</v>
      </c>
      <c r="J16" s="6" t="str">
        <f>IFERROR(VLOOKUP($C16,Source!$C$6:$E$40,MATCH($J$6,Source!$C$5:$F$5,0),0),"retired")</f>
        <v>Inside Sales</v>
      </c>
      <c r="K16" s="6">
        <f>IFERROR(VLOOKUP($C16,Source!$C$6:$F$40,MATCH($K$6,Source!$C$5:$F$5,0),0),"retired")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3" t="str">
        <f>IFERROR(VLOOKUP($C17,Source!$C$6:$E$40,MATCH($I$6,Source!$C$5:$F$5,0),0),"retired")</f>
        <v>South</v>
      </c>
      <c r="J17" s="6" t="str">
        <f>IFERROR(VLOOKUP($C17,Source!$C$6:$E$40,MATCH($J$6,Source!$C$5:$F$5,0),0),"retired")</f>
        <v>Learning &amp; Development</v>
      </c>
      <c r="K17" s="6">
        <f>IFERROR(VLOOKUP($C17,Source!$C$6:$F$40,MATCH($K$6,Source!$C$5:$F$5,0),0),"retired")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3" t="str">
        <f>IFERROR(VLOOKUP($C18,Source!$C$6:$E$40,MATCH($I$6,Source!$C$5:$F$5,0),0),"retired")</f>
        <v>East</v>
      </c>
      <c r="J18" s="6" t="str">
        <f>IFERROR(VLOOKUP($C18,Source!$C$6:$E$40,MATCH($J$6,Source!$C$5:$F$5,0),0),"retired")</f>
        <v>Learning &amp; Development</v>
      </c>
      <c r="K18" s="6">
        <f>IFERROR(VLOOKUP($C18,Source!$C$6:$F$40,MATCH($K$6,Source!$C$5:$F$5,0),0),"retired")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3" t="str">
        <f>IFERROR(VLOOKUP($C19,Source!$C$6:$E$40,MATCH($I$6,Source!$C$5:$F$5,0),0),"retired")</f>
        <v>East</v>
      </c>
      <c r="J19" s="6" t="str">
        <f>IFERROR(VLOOKUP($C19,Source!$C$6:$E$40,MATCH($J$6,Source!$C$5:$F$5,0),0),"retired")</f>
        <v>CEO</v>
      </c>
      <c r="K19" s="6">
        <f>IFERROR(VLOOKUP($C19,Source!$C$6:$F$40,MATCH($K$6,Source!$C$5:$F$5,0),0),"retired")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3" t="str">
        <f>IFERROR(VLOOKUP($C20,Source!$C$6:$E$40,MATCH($I$6,Source!$C$5:$F$5,0),0),"retired")</f>
        <v>retired</v>
      </c>
      <c r="J20" s="6" t="str">
        <f>IFERROR(VLOOKUP($C20,Source!$C$6:$E$40,MATCH($J$6,Source!$C$5:$F$5,0),0),"retired")</f>
        <v>retired</v>
      </c>
      <c r="K20" s="6" t="str">
        <f>IFERROR(VLOOKUP($C20,Source!$C$6:$F$40,MATCH($K$6,Source!$C$5:$F$5,0),0),"retired")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3" t="str">
        <f>IFERROR(VLOOKUP($C21,Source!$C$6:$E$40,MATCH($I$6,Source!$C$5:$F$5,0),0),"retired")</f>
        <v>South</v>
      </c>
      <c r="J21" s="6" t="str">
        <f>IFERROR(VLOOKUP($C21,Source!$C$6:$E$40,MATCH($J$6,Source!$C$5:$F$5,0),0),"retired")</f>
        <v>Digital Marketing</v>
      </c>
      <c r="K21" s="6">
        <f>IFERROR(VLOOKUP($C21,Source!$C$6:$F$40,MATCH($K$6,Source!$C$5:$F$5,0),0),"retired")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3" t="str">
        <f>IFERROR(VLOOKUP($C22,Source!$C$6:$E$40,MATCH($I$6,Source!$C$5:$F$5,0),0),"retired")</f>
        <v>South</v>
      </c>
      <c r="J22" s="6" t="str">
        <f>IFERROR(VLOOKUP($C22,Source!$C$6:$E$40,MATCH($J$6,Source!$C$5:$F$5,0),0),"retired")</f>
        <v>Inside Sales</v>
      </c>
      <c r="K22" s="6">
        <f>IFERROR(VLOOKUP($C22,Source!$C$6:$F$40,MATCH($K$6,Source!$C$5:$F$5,0),0),"retired")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3" t="str">
        <f>IFERROR(VLOOKUP($C23,Source!$C$6:$E$40,MATCH($I$6,Source!$C$5:$F$5,0),0),"retired")</f>
        <v>South</v>
      </c>
      <c r="J23" s="6" t="str">
        <f>IFERROR(VLOOKUP($C23,Source!$C$6:$E$40,MATCH($J$6,Source!$C$5:$F$5,0),0),"retired")</f>
        <v>CCD</v>
      </c>
      <c r="K23" s="6">
        <f>IFERROR(VLOOKUP($C23,Source!$C$6:$F$40,MATCH($K$6,Source!$C$5:$F$5,0),0),"retired")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3" t="str">
        <f>IFERROR(VLOOKUP($C24,Source!$C$6:$E$40,MATCH($I$6,Source!$C$5:$F$5,0),0),"retired")</f>
        <v>South</v>
      </c>
      <c r="J24" s="6" t="str">
        <f>IFERROR(VLOOKUP($C24,Source!$C$6:$E$40,MATCH($J$6,Source!$C$5:$F$5,0),0),"retired")</f>
        <v>FLM</v>
      </c>
      <c r="K24" s="6">
        <f>IFERROR(VLOOKUP($C24,Source!$C$6:$F$40,MATCH($K$6,Source!$C$5:$F$5,0),0),"retired")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3" t="str">
        <f>IFERROR(VLOOKUP($C25,Source!$C$6:$E$40,MATCH($I$6,Source!$C$5:$F$5,0),0),"retired")</f>
        <v>Mid West</v>
      </c>
      <c r="J25" s="6" t="str">
        <f>IFERROR(VLOOKUP($C25,Source!$C$6:$E$40,MATCH($J$6,Source!$C$5:$F$5,0),0),"retired")</f>
        <v>Inside Sales</v>
      </c>
      <c r="K25" s="6">
        <f>IFERROR(VLOOKUP($C25,Source!$C$6:$F$40,MATCH($K$6,Source!$C$5:$F$5,0),0),"retired")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3" t="str">
        <f>IFERROR(VLOOKUP($C26,Source!$C$6:$E$40,MATCH($I$6,Source!$C$5:$F$5,0),0),"retired")</f>
        <v>South</v>
      </c>
      <c r="J26" s="6" t="str">
        <f>IFERROR(VLOOKUP($C26,Source!$C$6:$E$40,MATCH($J$6,Source!$C$5:$F$5,0),0),"retired")</f>
        <v>Operations</v>
      </c>
      <c r="K26" s="6">
        <f>IFERROR(VLOOKUP($C26,Source!$C$6:$F$40,MATCH($K$6,Source!$C$5:$F$5,0),0),"retired")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3" t="str">
        <f>IFERROR(VLOOKUP($C27,Source!$C$6:$E$40,MATCH($I$6,Source!$C$5:$F$5,0),0),"retired")</f>
        <v>South</v>
      </c>
      <c r="J27" s="6" t="str">
        <f>IFERROR(VLOOKUP($C27,Source!$C$6:$E$40,MATCH($J$6,Source!$C$5:$F$5,0),0),"retired")</f>
        <v>Finance</v>
      </c>
      <c r="K27" s="6">
        <f>IFERROR(VLOOKUP($C27,Source!$C$6:$F$40,MATCH($K$6,Source!$C$5:$F$5,0),0),"retired")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3" t="str">
        <f>IFERROR(VLOOKUP($C28,Source!$C$6:$E$40,MATCH($I$6,Source!$C$5:$F$5,0),0),"retired")</f>
        <v>East</v>
      </c>
      <c r="J28" s="6" t="str">
        <f>IFERROR(VLOOKUP($C28,Source!$C$6:$E$40,MATCH($J$6,Source!$C$5:$F$5,0),0),"retired")</f>
        <v>Inside Sales</v>
      </c>
      <c r="K28" s="6">
        <f>IFERROR(VLOOKUP($C28,Source!$C$6:$F$40,MATCH($K$6,Source!$C$5:$F$5,0),0),"retired")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3" t="str">
        <f>IFERROR(VLOOKUP($C29,Source!$C$6:$E$40,MATCH($I$6,Source!$C$5:$F$5,0),0),"retired")</f>
        <v>East</v>
      </c>
      <c r="J29" s="6" t="str">
        <f>IFERROR(VLOOKUP($C29,Source!$C$6:$E$40,MATCH($J$6,Source!$C$5:$F$5,0),0),"retired")</f>
        <v>Finance</v>
      </c>
      <c r="K29" s="6">
        <f>IFERROR(VLOOKUP($C29,Source!$C$6:$F$40,MATCH($K$6,Source!$C$5:$F$5,0),0),"retired")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3" t="str">
        <f>IFERROR(VLOOKUP($C30,Source!$C$6:$E$40,MATCH($I$6,Source!$C$5:$F$5,0),0),"retired")</f>
        <v>retired</v>
      </c>
      <c r="J30" s="6" t="str">
        <f>IFERROR(VLOOKUP($C30,Source!$C$6:$E$40,MATCH($J$6,Source!$C$5:$F$5,0),0),"retired")</f>
        <v>retired</v>
      </c>
      <c r="K30" s="6" t="str">
        <f>IFERROR(VLOOKUP($C30,Source!$C$6:$F$40,MATCH($K$6,Source!$C$5:$F$5,0),0),"retired")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3" t="str">
        <f>IFERROR(VLOOKUP($C31,Source!$C$6:$E$40,MATCH($I$6,Source!$C$5:$F$5,0),0),"retired")</f>
        <v>Mid West</v>
      </c>
      <c r="J31" s="6" t="str">
        <f>IFERROR(VLOOKUP($C31,Source!$C$6:$E$40,MATCH($J$6,Source!$C$5:$F$5,0),0),"retired")</f>
        <v>Finance</v>
      </c>
      <c r="K31" s="6">
        <f>IFERROR(VLOOKUP($C31,Source!$C$6:$F$40,MATCH($K$6,Source!$C$5:$F$5,0),0),"retired")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3" t="str">
        <f>IFERROR(VLOOKUP($C32,Source!$C$6:$E$40,MATCH($I$6,Source!$C$5:$F$5,0),0),"retired")</f>
        <v>South</v>
      </c>
      <c r="J32" s="6" t="str">
        <f>IFERROR(VLOOKUP($C32,Source!$C$6:$E$40,MATCH($J$6,Source!$C$5:$F$5,0),0),"retired")</f>
        <v>Sales</v>
      </c>
      <c r="K32" s="6">
        <f>IFERROR(VLOOKUP($C32,Source!$C$6:$F$40,MATCH($K$6,Source!$C$5:$F$5,0),0),"retired")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3" t="str">
        <f>IFERROR(VLOOKUP($C33,Source!$C$6:$E$40,MATCH($I$6,Source!$C$5:$F$5,0),0),"retired")</f>
        <v>South</v>
      </c>
      <c r="J33" s="6" t="str">
        <f>IFERROR(VLOOKUP($C33,Source!$C$6:$E$40,MATCH($J$6,Source!$C$5:$F$5,0),0),"retired")</f>
        <v>Operations</v>
      </c>
      <c r="K33" s="6">
        <f>IFERROR(VLOOKUP($C33,Source!$C$6:$F$40,MATCH($K$6,Source!$C$5:$F$5,0),0),"retired")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3" t="str">
        <f>IFERROR(VLOOKUP($C34,Source!$C$6:$E$40,MATCH($I$6,Source!$C$5:$F$5,0),0),"retired")</f>
        <v>North</v>
      </c>
      <c r="J34" s="6" t="str">
        <f>IFERROR(VLOOKUP($C34,Source!$C$6:$E$40,MATCH($J$6,Source!$C$5:$F$5,0),0),"retired")</f>
        <v>Finance</v>
      </c>
      <c r="K34" s="6">
        <f>IFERROR(VLOOKUP($C34,Source!$C$6:$F$40,MATCH($K$6,Source!$C$5:$F$5,0),0),"retired")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3" t="str">
        <f>IFERROR(VLOOKUP($C35,Source!$C$6:$E$40,MATCH($I$6,Source!$C$5:$F$5,0),0),"retired")</f>
        <v>East</v>
      </c>
      <c r="J35" s="6" t="str">
        <f>IFERROR(VLOOKUP($C35,Source!$C$6:$E$40,MATCH($J$6,Source!$C$5:$F$5,0),0),"retired")</f>
        <v>Inside Sales</v>
      </c>
      <c r="K35" s="6">
        <f>IFERROR(VLOOKUP($C35,Source!$C$6:$F$40,MATCH($K$6,Source!$C$5:$F$5,0),0),"retired")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3" t="str">
        <f>IFERROR(VLOOKUP($C36,Source!$C$6:$E$40,MATCH($I$6,Source!$C$5:$F$5,0),0),"retired")</f>
        <v>East</v>
      </c>
      <c r="J36" s="6" t="str">
        <f>IFERROR(VLOOKUP($C36,Source!$C$6:$E$40,MATCH($J$6,Source!$C$5:$F$5,0),0),"retired")</f>
        <v>CCD</v>
      </c>
      <c r="K36" s="6">
        <f>IFERROR(VLOOKUP($C36,Source!$C$6:$F$40,MATCH($K$6,Source!$C$5:$F$5,0),0),"retired")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3" t="str">
        <f>IFERROR(VLOOKUP($C37,Source!$C$6:$E$40,MATCH($I$6,Source!$C$5:$F$5,0),0),"retired")</f>
        <v>South</v>
      </c>
      <c r="J37" s="6" t="str">
        <f>IFERROR(VLOOKUP($C37,Source!$C$6:$E$40,MATCH($J$6,Source!$C$5:$F$5,0),0),"retired")</f>
        <v>Director</v>
      </c>
      <c r="K37" s="6">
        <f>IFERROR(VLOOKUP($C37,Source!$C$6:$F$40,MATCH($K$6,Source!$C$5:$F$5,0),0),"retired")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3" t="str">
        <f>IFERROR(VLOOKUP($C38,Source!$C$6:$E$40,MATCH($I$6,Source!$C$5:$F$5,0),0),"retired")</f>
        <v>retired</v>
      </c>
      <c r="J38" s="6" t="str">
        <f>IFERROR(VLOOKUP($C38,Source!$C$6:$E$40,MATCH($J$6,Source!$C$5:$F$5,0),0),"retired")</f>
        <v>retired</v>
      </c>
      <c r="K38" s="6" t="str">
        <f>IFERROR(VLOOKUP($C38,Source!$C$6:$F$40,MATCH($K$6,Source!$C$5:$F$5,0),0),"retired")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3" t="str">
        <f>IFERROR(VLOOKUP($C39,Source!$C$6:$E$40,MATCH($I$6,Source!$C$5:$F$5,0),0),"retired")</f>
        <v>East</v>
      </c>
      <c r="J39" s="6" t="str">
        <f>IFERROR(VLOOKUP($C39,Source!$C$6:$E$40,MATCH($J$6,Source!$C$5:$F$5,0),0),"retired")</f>
        <v>Marketing</v>
      </c>
      <c r="K39" s="6">
        <f>IFERROR(VLOOKUP($C39,Source!$C$6:$F$40,MATCH($K$6,Source!$C$5:$F$5,0),0),"retired")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3" t="str">
        <f>IFERROR(VLOOKUP($C40,Source!$C$6:$E$40,MATCH($I$6,Source!$C$5:$F$5,0),0),"retired")</f>
        <v>North</v>
      </c>
      <c r="J40" s="6" t="str">
        <f>IFERROR(VLOOKUP($C40,Source!$C$6:$E$40,MATCH($J$6,Source!$C$5:$F$5,0),0),"retired")</f>
        <v>Digital Marketing</v>
      </c>
      <c r="K40" s="6">
        <f>IFERROR(VLOOKUP($C40,Source!$C$6:$F$40,MATCH($K$6,Source!$C$5:$F$5,0),0),"retired")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3" t="str">
        <f>IFERROR(VLOOKUP($C41,Source!$C$6:$E$40,MATCH($I$6,Source!$C$5:$F$5,0),0),"retired")</f>
        <v>North</v>
      </c>
      <c r="J41" s="6" t="str">
        <f>IFERROR(VLOOKUP($C41,Source!$C$6:$E$40,MATCH($J$6,Source!$C$5:$F$5,0),0),"retired")</f>
        <v>Sales</v>
      </c>
      <c r="K41" s="6">
        <f>IFERROR(VLOOKUP($C41,Source!$C$6:$F$40,MATCH($K$6,Source!$C$5:$F$5,0),0),"retired")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3" t="str">
        <f>IFERROR(VLOOKUP($C42,Source!$C$6:$E$40,MATCH($I$6,Source!$C$5:$F$5,0),0),"retired")</f>
        <v>South</v>
      </c>
      <c r="J42" s="6" t="str">
        <f>IFERROR(VLOOKUP($C42,Source!$C$6:$E$40,MATCH($J$6,Source!$C$5:$F$5,0),0),"retired")</f>
        <v>Marketing</v>
      </c>
      <c r="K42" s="6">
        <f>IFERROR(VLOOKUP($C42,Source!$C$6:$F$40,MATCH($K$6,Source!$C$5:$F$5,0),0),"retired")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3" t="str">
        <f>IFERROR(VLOOKUP($C43,Source!$C$6:$E$40,MATCH($I$6,Source!$C$5:$F$5,0),0),"retired")</f>
        <v>Mid West</v>
      </c>
      <c r="J43" s="6" t="str">
        <f>IFERROR(VLOOKUP($C43,Source!$C$6:$E$40,MATCH($J$6,Source!$C$5:$F$5,0),0),"retired")</f>
        <v>Marketing</v>
      </c>
      <c r="K43" s="6">
        <f>IFERROR(VLOOKUP($C43,Source!$C$6:$F$40,MATCH($K$6,Source!$C$5:$F$5,0),0),"retired")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3" t="str">
        <f>IFERROR(VLOOKUP($C44,Source!$C$6:$E$40,MATCH($I$6,Source!$C$5:$F$5,0),0),"retired")</f>
        <v>North</v>
      </c>
      <c r="J44" s="6" t="str">
        <f>IFERROR(VLOOKUP($C44,Source!$C$6:$E$40,MATCH($J$6,Source!$C$5:$F$5,0),0),"retired")</f>
        <v>CCD</v>
      </c>
      <c r="K44" s="6">
        <f>IFERROR(VLOOKUP($C44,Source!$C$6:$F$40,MATCH($K$6,Source!$C$5:$F$5,0),0),"retired")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H1000"/>
  <sheetViews>
    <sheetView workbookViewId="0">
      <selection activeCell="I14" sqref="I14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8" ht="14.25" customHeight="1"/>
    <row r="2" spans="3:8" ht="14.25" customHeight="1"/>
    <row r="3" spans="3:8" ht="14.25" customHeight="1"/>
    <row r="4" spans="3:8" ht="14.25" customHeight="1"/>
    <row r="5" spans="3:8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8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8" ht="14.25" customHeight="1">
      <c r="C7" s="2">
        <v>150777</v>
      </c>
      <c r="D7" s="3" t="s">
        <v>29</v>
      </c>
      <c r="E7" s="3" t="s">
        <v>14</v>
      </c>
      <c r="F7" s="6">
        <v>22000</v>
      </c>
      <c r="H7" t="str">
        <f>INDEX(SOURCE,5,2)</f>
        <v>Digital Marketing</v>
      </c>
    </row>
    <row r="8" spans="3:8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8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8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8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8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8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8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8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8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Index&amp;Match</vt:lpstr>
      <vt:lpstr>Master Emp sheet</vt:lpstr>
      <vt:lpstr>Source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AMARTHYA NADH B</cp:lastModifiedBy>
  <dcterms:created xsi:type="dcterms:W3CDTF">2022-07-27T06:45:44Z</dcterms:created>
  <dcterms:modified xsi:type="dcterms:W3CDTF">2025-08-21T16:45:30Z</dcterms:modified>
</cp:coreProperties>
</file>